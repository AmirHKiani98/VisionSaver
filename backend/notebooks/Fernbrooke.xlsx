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MyApps\VisionSaver\backend\notebooks\"/>
    </mc:Choice>
  </mc:AlternateContent>
  <xr:revisionPtr revIDLastSave="0" documentId="13_ncr:1_{31D24594-26BE-46B3-99F6-5E2E12DA535A}" xr6:coauthVersionLast="47" xr6:coauthVersionMax="47" xr10:uidLastSave="{00000000-0000-0000-0000-000000000000}"/>
  <bookViews>
    <workbookView xWindow="3660" yWindow="3660" windowWidth="17280" windowHeight="99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3" i="1" l="1"/>
  <c r="E57" i="1"/>
  <c r="E61" i="1" s="1"/>
  <c r="E63" i="1" s="1"/>
  <c r="G57" i="1"/>
  <c r="B57" i="1"/>
  <c r="F56" i="1"/>
  <c r="F63" i="1" s="1"/>
  <c r="D56" i="1"/>
  <c r="D63" i="1"/>
  <c r="D55" i="1"/>
  <c r="D62" i="1" s="1"/>
  <c r="F55" i="1"/>
  <c r="F62" i="1" s="1"/>
  <c r="E62" i="1"/>
  <c r="G63" i="1"/>
  <c r="D60" i="1"/>
  <c r="F60" i="1"/>
  <c r="F61" i="1"/>
  <c r="H61" i="1"/>
  <c r="D61" i="1"/>
  <c r="C62" i="1"/>
  <c r="G62" i="1"/>
  <c r="D59" i="1"/>
  <c r="F59" i="1"/>
  <c r="D58" i="1"/>
  <c r="F58" i="1"/>
  <c r="B59" i="1"/>
  <c r="B58" i="1"/>
  <c r="B56" i="1"/>
  <c r="B54" i="1"/>
  <c r="B55" i="1"/>
  <c r="C54" i="1"/>
  <c r="D54" i="1"/>
  <c r="E54" i="1"/>
  <c r="F54" i="1"/>
  <c r="G54" i="1"/>
  <c r="B60" i="1" l="1"/>
  <c r="B62" i="1" s="1"/>
  <c r="D57" i="1"/>
  <c r="B61" i="1" l="1"/>
  <c r="B63" i="1" s="1"/>
</calcChain>
</file>

<file path=xl/sharedStrings.xml><?xml version="1.0" encoding="utf-8"?>
<sst xmlns="http://schemas.openxmlformats.org/spreadsheetml/2006/main" count="22" uniqueCount="19">
  <si>
    <t>East Bound</t>
  </si>
  <si>
    <t>movement</t>
  </si>
  <si>
    <t>right_turn</t>
  </si>
  <si>
    <t>through</t>
  </si>
  <si>
    <t>car</t>
  </si>
  <si>
    <t>truck</t>
  </si>
  <si>
    <t>North Bound</t>
  </si>
  <si>
    <t>left_turn</t>
  </si>
  <si>
    <t>West Bound</t>
  </si>
  <si>
    <t>Sum</t>
  </si>
  <si>
    <t>Sum Car Summary</t>
  </si>
  <si>
    <t>Sum Results</t>
  </si>
  <si>
    <t>Car</t>
  </si>
  <si>
    <t>Sum Truck Summary</t>
  </si>
  <si>
    <t>Truck / All</t>
  </si>
  <si>
    <t>Car / All</t>
  </si>
  <si>
    <t>AC</t>
  </si>
  <si>
    <t>AT</t>
  </si>
  <si>
    <t>Truck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</si>
</sst>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topLeftCell="B9" workbookViewId="0">
      <selection activeCell="A53" sqref="A1:G53"/>
    </sheetView>
  </sheetViews>
  <sheetFormatPr defaultRowHeight="14.4" x14ac:dyDescent="0.3"/>
  <cols>
    <col min="1" max="1" width="28.21875" customWidth="1"/>
    <col min="2" max="2" width="24.6640625" customWidth="1"/>
    <col min="3" max="3" width="27.44140625" customWidth="1"/>
    <col min="4" max="4" width="19.6640625" customWidth="1"/>
    <col min="5" max="5" width="16.33203125" customWidth="1"/>
    <col min="6" max="6" width="20.5546875" customWidth="1"/>
    <col min="7" max="7" width="14.44140625" customWidth="1"/>
  </cols>
  <sheetData>
    <row r="1" spans="1:7" x14ac:dyDescent="0.3">
      <c r="A1" s="1"/>
      <c r="B1" s="3" t="s">
        <v>0</v>
      </c>
      <c r="C1" s="3"/>
      <c r="D1" s="3" t="s">
        <v>6</v>
      </c>
      <c r="E1" s="3"/>
      <c r="F1" s="3" t="s">
        <v>8</v>
      </c>
      <c r="G1" s="3"/>
    </row>
    <row r="2" spans="1:7" x14ac:dyDescent="0.3">
      <c r="A2" s="1" t="s">
        <v>1</v>
      </c>
      <c r="B2" s="1" t="s">
        <v>2</v>
      </c>
      <c r="C2" s="1" t="s">
        <v>3</v>
      </c>
      <c r="D2" s="1" t="s">
        <v>7</v>
      </c>
      <c r="E2" s="1" t="s">
        <v>3</v>
      </c>
      <c r="F2" s="1" t="s">
        <v>7</v>
      </c>
      <c r="G2" s="1" t="s">
        <v>3</v>
      </c>
    </row>
    <row r="3" spans="1:7" x14ac:dyDescent="0.3">
      <c r="A3" s="2">
        <v>45965.25</v>
      </c>
      <c r="B3">
        <v>7</v>
      </c>
      <c r="C3">
        <v>27</v>
      </c>
      <c r="D3">
        <v>2</v>
      </c>
      <c r="E3">
        <v>6</v>
      </c>
      <c r="F3">
        <v>5</v>
      </c>
      <c r="G3">
        <v>21</v>
      </c>
    </row>
    <row r="4" spans="1:7" x14ac:dyDescent="0.3">
      <c r="A4" s="2">
        <v>45965.260416666657</v>
      </c>
      <c r="B4">
        <v>11</v>
      </c>
      <c r="C4">
        <v>46</v>
      </c>
      <c r="D4">
        <v>1</v>
      </c>
      <c r="E4">
        <v>2</v>
      </c>
      <c r="F4">
        <v>10</v>
      </c>
      <c r="G4">
        <v>56</v>
      </c>
    </row>
    <row r="5" spans="1:7" x14ac:dyDescent="0.3">
      <c r="A5" s="2">
        <v>45965.270833333343</v>
      </c>
      <c r="B5">
        <v>8</v>
      </c>
      <c r="C5">
        <v>25</v>
      </c>
      <c r="D5">
        <v>0</v>
      </c>
      <c r="E5">
        <v>4</v>
      </c>
      <c r="F5">
        <v>3</v>
      </c>
      <c r="G5">
        <v>73</v>
      </c>
    </row>
    <row r="6" spans="1:7" x14ac:dyDescent="0.3">
      <c r="A6" s="2">
        <v>45965.28125</v>
      </c>
      <c r="B6">
        <v>24</v>
      </c>
      <c r="C6">
        <v>86</v>
      </c>
      <c r="D6">
        <v>3</v>
      </c>
      <c r="E6">
        <v>8</v>
      </c>
      <c r="F6">
        <v>5</v>
      </c>
      <c r="G6">
        <v>95</v>
      </c>
    </row>
    <row r="7" spans="1:7" x14ac:dyDescent="0.3">
      <c r="A7" s="2">
        <v>45965.291666666657</v>
      </c>
      <c r="B7">
        <v>16</v>
      </c>
      <c r="C7">
        <v>126</v>
      </c>
      <c r="D7">
        <v>2</v>
      </c>
      <c r="E7">
        <v>12</v>
      </c>
      <c r="F7">
        <v>4</v>
      </c>
      <c r="G7">
        <v>135</v>
      </c>
    </row>
    <row r="8" spans="1:7" x14ac:dyDescent="0.3">
      <c r="A8" s="2">
        <v>45965.302083333343</v>
      </c>
      <c r="B8">
        <v>18</v>
      </c>
      <c r="C8">
        <v>109</v>
      </c>
      <c r="D8">
        <v>3</v>
      </c>
      <c r="E8">
        <v>11</v>
      </c>
      <c r="F8">
        <v>4</v>
      </c>
      <c r="G8">
        <v>110</v>
      </c>
    </row>
    <row r="9" spans="1:7" x14ac:dyDescent="0.3">
      <c r="A9" s="2">
        <v>45965.3125</v>
      </c>
      <c r="B9">
        <v>41</v>
      </c>
      <c r="C9">
        <v>119</v>
      </c>
      <c r="D9">
        <v>1</v>
      </c>
      <c r="E9">
        <v>15</v>
      </c>
      <c r="F9">
        <v>0</v>
      </c>
      <c r="G9">
        <v>152</v>
      </c>
    </row>
    <row r="10" spans="1:7" x14ac:dyDescent="0.3">
      <c r="A10" s="2">
        <v>45965.322916666657</v>
      </c>
      <c r="B10">
        <v>72</v>
      </c>
      <c r="C10">
        <v>131</v>
      </c>
      <c r="D10">
        <v>4</v>
      </c>
      <c r="E10">
        <v>12</v>
      </c>
      <c r="F10">
        <v>0</v>
      </c>
      <c r="G10">
        <v>111</v>
      </c>
    </row>
    <row r="11" spans="1:7" x14ac:dyDescent="0.3">
      <c r="A11" s="2">
        <v>45965.333333333343</v>
      </c>
      <c r="B11">
        <v>20</v>
      </c>
      <c r="C11">
        <v>127</v>
      </c>
      <c r="D11">
        <v>10</v>
      </c>
      <c r="E11">
        <v>20</v>
      </c>
      <c r="F11">
        <v>8</v>
      </c>
      <c r="G11">
        <v>86</v>
      </c>
    </row>
    <row r="12" spans="1:7" x14ac:dyDescent="0.3">
      <c r="A12" s="2">
        <v>45965.34375</v>
      </c>
      <c r="B12">
        <v>15</v>
      </c>
      <c r="C12">
        <v>96</v>
      </c>
      <c r="D12">
        <v>9</v>
      </c>
      <c r="E12">
        <v>22</v>
      </c>
      <c r="F12">
        <v>14</v>
      </c>
      <c r="G12">
        <v>81</v>
      </c>
    </row>
    <row r="13" spans="1:7" x14ac:dyDescent="0.3">
      <c r="A13" s="2">
        <v>45965.354166666657</v>
      </c>
      <c r="B13">
        <v>10</v>
      </c>
      <c r="C13">
        <v>52</v>
      </c>
      <c r="D13">
        <v>9</v>
      </c>
      <c r="E13">
        <v>15</v>
      </c>
      <c r="F13">
        <v>19</v>
      </c>
      <c r="G13">
        <v>57</v>
      </c>
    </row>
    <row r="14" spans="1:7" x14ac:dyDescent="0.3">
      <c r="A14" s="2">
        <v>45965.364583333343</v>
      </c>
      <c r="B14">
        <v>4</v>
      </c>
      <c r="C14">
        <v>94</v>
      </c>
      <c r="D14">
        <v>5</v>
      </c>
      <c r="E14">
        <v>17</v>
      </c>
      <c r="F14">
        <v>1</v>
      </c>
      <c r="G14">
        <v>34</v>
      </c>
    </row>
    <row r="15" spans="1:7" x14ac:dyDescent="0.3">
      <c r="A15" s="2">
        <v>45965.375</v>
      </c>
      <c r="B15">
        <v>8</v>
      </c>
      <c r="C15">
        <v>106</v>
      </c>
      <c r="D15">
        <v>8</v>
      </c>
      <c r="E15">
        <v>16</v>
      </c>
      <c r="F15">
        <v>7</v>
      </c>
      <c r="G15">
        <v>42</v>
      </c>
    </row>
    <row r="16" spans="1:7" x14ac:dyDescent="0.3">
      <c r="A16" s="2">
        <v>45965.385416666657</v>
      </c>
      <c r="B16">
        <v>13</v>
      </c>
      <c r="C16">
        <v>118</v>
      </c>
      <c r="D16">
        <v>6</v>
      </c>
      <c r="E16">
        <v>18</v>
      </c>
      <c r="F16">
        <v>9</v>
      </c>
      <c r="G16">
        <v>42</v>
      </c>
    </row>
    <row r="17" spans="1:9" x14ac:dyDescent="0.3">
      <c r="A17" s="2">
        <v>45965.395833333343</v>
      </c>
      <c r="B17">
        <v>17</v>
      </c>
      <c r="C17">
        <v>129</v>
      </c>
      <c r="D17">
        <v>4</v>
      </c>
      <c r="E17">
        <v>14</v>
      </c>
      <c r="F17">
        <v>14</v>
      </c>
      <c r="G17">
        <v>34</v>
      </c>
    </row>
    <row r="18" spans="1:9" x14ac:dyDescent="0.3">
      <c r="A18" s="2">
        <v>45965.40625</v>
      </c>
      <c r="B18">
        <v>13</v>
      </c>
      <c r="C18">
        <v>116</v>
      </c>
      <c r="D18">
        <v>5</v>
      </c>
      <c r="E18">
        <v>14</v>
      </c>
      <c r="F18">
        <v>14</v>
      </c>
      <c r="G18">
        <v>41</v>
      </c>
    </row>
    <row r="19" spans="1:9" x14ac:dyDescent="0.3">
      <c r="A19" s="2">
        <v>45965.416666666657</v>
      </c>
      <c r="B19">
        <v>15</v>
      </c>
      <c r="C19">
        <v>97</v>
      </c>
      <c r="D19">
        <v>13</v>
      </c>
      <c r="E19">
        <v>33</v>
      </c>
      <c r="F19">
        <v>13</v>
      </c>
      <c r="G19">
        <v>41</v>
      </c>
    </row>
    <row r="20" spans="1:9" x14ac:dyDescent="0.3">
      <c r="A20" s="2">
        <v>45965.427083333343</v>
      </c>
      <c r="B20">
        <v>8</v>
      </c>
      <c r="C20">
        <v>112</v>
      </c>
      <c r="D20">
        <v>1</v>
      </c>
      <c r="E20">
        <v>20</v>
      </c>
      <c r="F20">
        <v>16</v>
      </c>
      <c r="G20">
        <v>46</v>
      </c>
    </row>
    <row r="21" spans="1:9" x14ac:dyDescent="0.3">
      <c r="A21" s="2">
        <v>45965.4375</v>
      </c>
      <c r="B21">
        <v>12</v>
      </c>
      <c r="C21">
        <v>104</v>
      </c>
      <c r="D21">
        <v>5</v>
      </c>
      <c r="E21">
        <v>14</v>
      </c>
      <c r="F21">
        <v>12</v>
      </c>
      <c r="G21">
        <v>54</v>
      </c>
    </row>
    <row r="22" spans="1:9" x14ac:dyDescent="0.3">
      <c r="A22" s="2">
        <v>45965.447916666657</v>
      </c>
      <c r="B22">
        <v>15</v>
      </c>
      <c r="C22">
        <v>132</v>
      </c>
      <c r="D22">
        <v>8</v>
      </c>
      <c r="E22">
        <v>25</v>
      </c>
      <c r="F22">
        <v>16</v>
      </c>
      <c r="G22">
        <v>42</v>
      </c>
    </row>
    <row r="23" spans="1:9" x14ac:dyDescent="0.3">
      <c r="A23" s="2">
        <v>45965.458333333343</v>
      </c>
      <c r="B23">
        <v>7</v>
      </c>
      <c r="C23">
        <v>115</v>
      </c>
      <c r="D23">
        <v>13</v>
      </c>
      <c r="E23">
        <v>66</v>
      </c>
      <c r="F23">
        <v>11</v>
      </c>
      <c r="G23">
        <v>50</v>
      </c>
    </row>
    <row r="24" spans="1:9" x14ac:dyDescent="0.3">
      <c r="A24" s="2">
        <v>45965.46875</v>
      </c>
      <c r="B24">
        <v>9</v>
      </c>
      <c r="C24">
        <v>124</v>
      </c>
      <c r="D24">
        <v>26</v>
      </c>
      <c r="E24">
        <v>125</v>
      </c>
      <c r="F24">
        <v>23</v>
      </c>
      <c r="G24">
        <v>56</v>
      </c>
    </row>
    <row r="25" spans="1:9" x14ac:dyDescent="0.3">
      <c r="A25" s="2">
        <v>45965.479166666657</v>
      </c>
      <c r="B25">
        <v>11</v>
      </c>
      <c r="C25">
        <v>128</v>
      </c>
      <c r="D25">
        <v>8</v>
      </c>
      <c r="E25">
        <v>42</v>
      </c>
      <c r="F25">
        <v>8</v>
      </c>
      <c r="G25">
        <v>67</v>
      </c>
    </row>
    <row r="26" spans="1:9" x14ac:dyDescent="0.3">
      <c r="A26" s="2">
        <v>45965.489583333343</v>
      </c>
      <c r="B26">
        <v>10</v>
      </c>
      <c r="C26">
        <v>118</v>
      </c>
      <c r="D26">
        <v>16</v>
      </c>
      <c r="E26">
        <v>33</v>
      </c>
      <c r="F26">
        <v>15</v>
      </c>
      <c r="G26">
        <v>49</v>
      </c>
    </row>
    <row r="27" spans="1:9" x14ac:dyDescent="0.3">
      <c r="A27" s="2">
        <v>45965.489583333343</v>
      </c>
      <c r="B27">
        <v>3</v>
      </c>
      <c r="C27">
        <v>13</v>
      </c>
      <c r="D27">
        <v>7</v>
      </c>
      <c r="E27">
        <v>34</v>
      </c>
      <c r="F27">
        <v>4</v>
      </c>
      <c r="G27">
        <v>16</v>
      </c>
    </row>
    <row r="28" spans="1:9" x14ac:dyDescent="0.3">
      <c r="A28" s="2">
        <v>45965.5</v>
      </c>
      <c r="B28">
        <v>11</v>
      </c>
      <c r="C28">
        <v>125</v>
      </c>
      <c r="D28">
        <v>19</v>
      </c>
      <c r="E28">
        <v>28</v>
      </c>
      <c r="F28">
        <v>21</v>
      </c>
      <c r="G28">
        <v>94</v>
      </c>
    </row>
    <row r="29" spans="1:9" x14ac:dyDescent="0.3">
      <c r="A29" s="2">
        <v>45965.510416666657</v>
      </c>
      <c r="B29">
        <v>18</v>
      </c>
      <c r="C29">
        <v>113</v>
      </c>
      <c r="D29">
        <v>8</v>
      </c>
      <c r="E29">
        <v>13</v>
      </c>
      <c r="F29">
        <v>33</v>
      </c>
      <c r="G29">
        <v>104</v>
      </c>
    </row>
    <row r="30" spans="1:9" x14ac:dyDescent="0.3">
      <c r="A30" s="2">
        <v>45965.520833333343</v>
      </c>
      <c r="B30">
        <v>19</v>
      </c>
      <c r="C30">
        <v>108</v>
      </c>
      <c r="D30">
        <v>7</v>
      </c>
      <c r="E30">
        <v>17</v>
      </c>
      <c r="F30">
        <v>15</v>
      </c>
      <c r="G30">
        <v>107</v>
      </c>
    </row>
    <row r="31" spans="1:9" x14ac:dyDescent="0.3">
      <c r="A31" s="2">
        <v>45965.53125</v>
      </c>
      <c r="B31">
        <v>19</v>
      </c>
      <c r="C31">
        <v>124</v>
      </c>
      <c r="D31">
        <v>6</v>
      </c>
      <c r="E31">
        <v>14</v>
      </c>
      <c r="F31">
        <v>21</v>
      </c>
      <c r="G31">
        <v>105</v>
      </c>
      <c r="I31" s="1"/>
    </row>
    <row r="32" spans="1:9" x14ac:dyDescent="0.3">
      <c r="A32" s="2">
        <v>45965.541666666657</v>
      </c>
      <c r="B32">
        <v>16</v>
      </c>
      <c r="C32">
        <v>130</v>
      </c>
      <c r="D32">
        <v>15</v>
      </c>
      <c r="E32">
        <v>18</v>
      </c>
      <c r="F32">
        <v>16</v>
      </c>
      <c r="G32">
        <v>118</v>
      </c>
      <c r="I32" s="1"/>
    </row>
    <row r="33" spans="1:7" x14ac:dyDescent="0.3">
      <c r="A33" s="2">
        <v>45965.552083333343</v>
      </c>
      <c r="B33">
        <v>18</v>
      </c>
      <c r="C33">
        <v>115</v>
      </c>
      <c r="D33">
        <v>11</v>
      </c>
      <c r="E33">
        <v>28</v>
      </c>
      <c r="F33">
        <v>22</v>
      </c>
      <c r="G33">
        <v>116</v>
      </c>
    </row>
    <row r="34" spans="1:7" x14ac:dyDescent="0.3">
      <c r="A34" s="2">
        <v>45965.5625</v>
      </c>
      <c r="B34">
        <v>12</v>
      </c>
      <c r="C34">
        <v>138</v>
      </c>
      <c r="D34">
        <v>5</v>
      </c>
      <c r="E34">
        <v>19</v>
      </c>
      <c r="F34">
        <v>19</v>
      </c>
      <c r="G34">
        <v>134</v>
      </c>
    </row>
    <row r="35" spans="1:7" x14ac:dyDescent="0.3">
      <c r="A35" s="2">
        <v>45965.572916666657</v>
      </c>
      <c r="B35">
        <v>18</v>
      </c>
      <c r="C35">
        <v>126</v>
      </c>
      <c r="D35">
        <v>17</v>
      </c>
      <c r="E35">
        <v>24</v>
      </c>
      <c r="F35">
        <v>26</v>
      </c>
      <c r="G35">
        <v>123</v>
      </c>
    </row>
    <row r="36" spans="1:7" x14ac:dyDescent="0.3">
      <c r="A36" s="2">
        <v>45965.583333333343</v>
      </c>
      <c r="B36">
        <v>13</v>
      </c>
      <c r="C36">
        <v>142</v>
      </c>
      <c r="D36">
        <v>12</v>
      </c>
      <c r="E36">
        <v>24</v>
      </c>
      <c r="F36">
        <v>31</v>
      </c>
      <c r="G36">
        <v>137</v>
      </c>
    </row>
    <row r="37" spans="1:7" x14ac:dyDescent="0.3">
      <c r="A37" s="2">
        <v>45965.59375</v>
      </c>
      <c r="B37">
        <v>14</v>
      </c>
      <c r="C37">
        <v>153</v>
      </c>
      <c r="D37">
        <v>10</v>
      </c>
      <c r="E37">
        <v>21</v>
      </c>
      <c r="F37">
        <v>24</v>
      </c>
      <c r="G37">
        <v>152</v>
      </c>
    </row>
    <row r="38" spans="1:7" x14ac:dyDescent="0.3">
      <c r="A38" s="2">
        <v>45965.604166666657</v>
      </c>
      <c r="B38">
        <v>12</v>
      </c>
      <c r="C38">
        <v>172</v>
      </c>
      <c r="D38">
        <v>10</v>
      </c>
      <c r="E38">
        <v>36</v>
      </c>
      <c r="F38">
        <v>23</v>
      </c>
      <c r="G38">
        <v>170</v>
      </c>
    </row>
    <row r="39" spans="1:7" x14ac:dyDescent="0.3">
      <c r="A39" s="2">
        <v>45965.614583333343</v>
      </c>
      <c r="B39">
        <v>16</v>
      </c>
      <c r="C39">
        <v>160</v>
      </c>
      <c r="D39">
        <v>8</v>
      </c>
      <c r="E39">
        <v>18</v>
      </c>
      <c r="F39">
        <v>33</v>
      </c>
      <c r="G39">
        <v>182</v>
      </c>
    </row>
    <row r="40" spans="1:7" x14ac:dyDescent="0.3">
      <c r="A40" s="2">
        <v>45965.625</v>
      </c>
      <c r="B40">
        <v>18</v>
      </c>
      <c r="C40">
        <v>175</v>
      </c>
      <c r="D40">
        <v>6</v>
      </c>
      <c r="E40">
        <v>28</v>
      </c>
      <c r="F40">
        <v>27</v>
      </c>
      <c r="G40">
        <v>208</v>
      </c>
    </row>
    <row r="41" spans="1:7" x14ac:dyDescent="0.3">
      <c r="A41" s="2">
        <v>45965.635416666657</v>
      </c>
      <c r="B41">
        <v>15</v>
      </c>
      <c r="C41">
        <v>138</v>
      </c>
      <c r="D41">
        <v>25</v>
      </c>
      <c r="E41">
        <v>25</v>
      </c>
      <c r="F41">
        <v>21</v>
      </c>
      <c r="G41">
        <v>249</v>
      </c>
    </row>
    <row r="42" spans="1:7" x14ac:dyDescent="0.3">
      <c r="A42" s="2">
        <v>45965.645833333343</v>
      </c>
      <c r="B42">
        <v>22</v>
      </c>
      <c r="C42">
        <v>175</v>
      </c>
      <c r="D42">
        <v>11</v>
      </c>
      <c r="E42">
        <v>33</v>
      </c>
      <c r="F42">
        <v>28</v>
      </c>
      <c r="G42">
        <v>274</v>
      </c>
    </row>
    <row r="43" spans="1:7" x14ac:dyDescent="0.3">
      <c r="A43" s="2">
        <v>45965.65625</v>
      </c>
      <c r="B43">
        <v>31</v>
      </c>
      <c r="C43">
        <v>166</v>
      </c>
      <c r="D43">
        <v>31</v>
      </c>
      <c r="E43">
        <v>61</v>
      </c>
      <c r="F43">
        <v>24</v>
      </c>
      <c r="G43">
        <v>288</v>
      </c>
    </row>
    <row r="44" spans="1:7" x14ac:dyDescent="0.3">
      <c r="A44" s="2">
        <v>45965.666666666657</v>
      </c>
      <c r="B44">
        <v>20</v>
      </c>
      <c r="C44">
        <v>149</v>
      </c>
      <c r="D44">
        <v>21</v>
      </c>
      <c r="E44">
        <v>37</v>
      </c>
      <c r="F44">
        <v>32</v>
      </c>
      <c r="G44">
        <v>324</v>
      </c>
    </row>
    <row r="45" spans="1:7" x14ac:dyDescent="0.3">
      <c r="A45" s="2">
        <v>45965.677083333343</v>
      </c>
      <c r="B45">
        <v>24</v>
      </c>
      <c r="C45">
        <v>191</v>
      </c>
      <c r="D45">
        <v>14</v>
      </c>
      <c r="E45">
        <v>32</v>
      </c>
      <c r="F45">
        <v>25</v>
      </c>
      <c r="G45">
        <v>303</v>
      </c>
    </row>
    <row r="46" spans="1:7" x14ac:dyDescent="0.3">
      <c r="A46" s="2">
        <v>45965.6875</v>
      </c>
      <c r="B46">
        <v>25</v>
      </c>
      <c r="C46">
        <v>173</v>
      </c>
      <c r="D46">
        <v>19</v>
      </c>
      <c r="E46">
        <v>36</v>
      </c>
      <c r="F46">
        <v>34</v>
      </c>
      <c r="G46">
        <v>326</v>
      </c>
    </row>
    <row r="47" spans="1:7" x14ac:dyDescent="0.3">
      <c r="A47" s="2">
        <v>45965.697916666657</v>
      </c>
      <c r="B47">
        <v>21</v>
      </c>
      <c r="C47">
        <v>168</v>
      </c>
      <c r="D47">
        <v>23</v>
      </c>
      <c r="E47">
        <v>31</v>
      </c>
      <c r="F47">
        <v>26</v>
      </c>
      <c r="G47">
        <v>343</v>
      </c>
    </row>
    <row r="48" spans="1:7" x14ac:dyDescent="0.3">
      <c r="A48" s="2">
        <v>45965.708333333343</v>
      </c>
      <c r="B48">
        <v>14</v>
      </c>
      <c r="C48">
        <v>179</v>
      </c>
      <c r="D48">
        <v>19</v>
      </c>
      <c r="E48">
        <v>31</v>
      </c>
      <c r="F48">
        <v>28</v>
      </c>
      <c r="G48">
        <v>276</v>
      </c>
    </row>
    <row r="49" spans="1:8" x14ac:dyDescent="0.3">
      <c r="A49" s="2">
        <v>45965.71875</v>
      </c>
      <c r="B49">
        <v>15</v>
      </c>
      <c r="C49">
        <v>92</v>
      </c>
      <c r="D49">
        <v>17</v>
      </c>
      <c r="E49">
        <v>27</v>
      </c>
      <c r="F49">
        <v>31</v>
      </c>
      <c r="G49">
        <v>80</v>
      </c>
    </row>
    <row r="50" spans="1:8" x14ac:dyDescent="0.3">
      <c r="A50" s="2">
        <v>45965.729166666657</v>
      </c>
      <c r="B50">
        <v>7</v>
      </c>
      <c r="C50">
        <v>33</v>
      </c>
      <c r="D50">
        <v>20</v>
      </c>
      <c r="E50">
        <v>35</v>
      </c>
      <c r="F50">
        <v>15</v>
      </c>
      <c r="G50">
        <v>21</v>
      </c>
    </row>
    <row r="51" spans="1:8" x14ac:dyDescent="0.3">
      <c r="A51" s="2">
        <v>45965.739583333343</v>
      </c>
      <c r="B51">
        <v>1</v>
      </c>
      <c r="C51">
        <v>11</v>
      </c>
      <c r="D51">
        <v>12</v>
      </c>
      <c r="E51">
        <v>21</v>
      </c>
      <c r="F51">
        <v>7</v>
      </c>
      <c r="G51">
        <v>5</v>
      </c>
    </row>
    <row r="52" spans="1:8" x14ac:dyDescent="0.3">
      <c r="A52" s="1" t="s">
        <v>4</v>
      </c>
      <c r="B52">
        <v>138</v>
      </c>
      <c r="C52">
        <v>1370</v>
      </c>
      <c r="D52">
        <v>513</v>
      </c>
      <c r="E52">
        <v>1249</v>
      </c>
      <c r="F52">
        <v>630</v>
      </c>
      <c r="G52">
        <v>4767</v>
      </c>
    </row>
    <row r="53" spans="1:8" x14ac:dyDescent="0.3">
      <c r="A53" s="1" t="s">
        <v>5</v>
      </c>
      <c r="B53">
        <v>3</v>
      </c>
      <c r="C53">
        <v>36</v>
      </c>
      <c r="D53">
        <v>12</v>
      </c>
      <c r="E53">
        <v>25</v>
      </c>
      <c r="F53">
        <v>102</v>
      </c>
      <c r="G53">
        <v>41</v>
      </c>
    </row>
    <row r="54" spans="1:8" x14ac:dyDescent="0.3">
      <c r="A54" t="s">
        <v>9</v>
      </c>
      <c r="B54">
        <f>SUM(B3:B51)</f>
        <v>786</v>
      </c>
      <c r="C54">
        <f>SUM(C3:C51)</f>
        <v>5706</v>
      </c>
      <c r="D54">
        <f t="shared" ref="D54:G54" si="0">SUM(D3:D51)</f>
        <v>515</v>
      </c>
      <c r="E54">
        <f t="shared" si="0"/>
        <v>1255</v>
      </c>
      <c r="F54">
        <f t="shared" si="0"/>
        <v>817</v>
      </c>
      <c r="G54">
        <f t="shared" si="0"/>
        <v>5830</v>
      </c>
    </row>
    <row r="55" spans="1:8" x14ac:dyDescent="0.3">
      <c r="A55" t="s">
        <v>10</v>
      </c>
      <c r="B55">
        <f>SUM(B52:C52)</f>
        <v>1508</v>
      </c>
      <c r="C55">
        <v>1508</v>
      </c>
      <c r="D55">
        <f t="shared" ref="D55:G55" si="1">SUM(D52:E52)</f>
        <v>1762</v>
      </c>
      <c r="E55">
        <v>1509</v>
      </c>
      <c r="F55">
        <f t="shared" ref="F55:G55" si="2">SUM(F52:G52)</f>
        <v>5397</v>
      </c>
      <c r="G55">
        <v>1510</v>
      </c>
    </row>
    <row r="56" spans="1:8" x14ac:dyDescent="0.3">
      <c r="A56" t="s">
        <v>13</v>
      </c>
      <c r="B56">
        <f>SUM(B53:C53)</f>
        <v>39</v>
      </c>
      <c r="C56">
        <v>39</v>
      </c>
      <c r="D56">
        <f>SUM(D53:E53)</f>
        <v>37</v>
      </c>
      <c r="E56">
        <v>40</v>
      </c>
      <c r="F56">
        <f>SUM(F53:G53)</f>
        <v>143</v>
      </c>
      <c r="G56">
        <v>41</v>
      </c>
    </row>
    <row r="57" spans="1:8" x14ac:dyDescent="0.3">
      <c r="A57" t="s">
        <v>11</v>
      </c>
      <c r="B57">
        <f>SUM(B54:C54)</f>
        <v>6492</v>
      </c>
      <c r="C57">
        <v>6492</v>
      </c>
      <c r="D57">
        <f>SUM(D54:E54)</f>
        <v>1770</v>
      </c>
      <c r="E57">
        <f>SUM(E54:F54)</f>
        <v>2072</v>
      </c>
      <c r="F57">
        <v>6493</v>
      </c>
      <c r="G57">
        <f>SUM(G54:H54)</f>
        <v>5830</v>
      </c>
    </row>
    <row r="58" spans="1:8" x14ac:dyDescent="0.3">
      <c r="A58" t="s">
        <v>14</v>
      </c>
      <c r="B58">
        <f>SUM(B53:C53)/SUM(B52:C53)</f>
        <v>2.5210084033613446E-2</v>
      </c>
      <c r="D58">
        <f t="shared" ref="D58:F58" si="3">SUM(D53:E53)/SUM(D52:E53)</f>
        <v>2.056698165647582E-2</v>
      </c>
      <c r="F58">
        <f t="shared" si="3"/>
        <v>2.5812274368231046E-2</v>
      </c>
    </row>
    <row r="59" spans="1:8" x14ac:dyDescent="0.3">
      <c r="A59" t="s">
        <v>15</v>
      </c>
      <c r="B59">
        <f>SUM(B52:C52)/SUM(B52:C53)</f>
        <v>0.97478991596638653</v>
      </c>
      <c r="D59">
        <f t="shared" ref="D59:F59" si="4">SUM(D52:E52)/SUM(D52:E53)</f>
        <v>0.97943301834352414</v>
      </c>
      <c r="F59">
        <f t="shared" si="4"/>
        <v>0.97418772563176892</v>
      </c>
    </row>
    <row r="60" spans="1:8" x14ac:dyDescent="0.3">
      <c r="A60" t="s">
        <v>16</v>
      </c>
      <c r="B60">
        <f>(B59)*B57</f>
        <v>6328.3361344537816</v>
      </c>
      <c r="C60">
        <v>6328.3361340000001</v>
      </c>
      <c r="D60">
        <f t="shared" ref="D60" si="5">(D59)*D57</f>
        <v>1733.5964424680378</v>
      </c>
      <c r="E60">
        <v>6329.3361340000001</v>
      </c>
      <c r="F60">
        <f t="shared" ref="F60" si="6">(F59)*F57</f>
        <v>6325.4009025270752</v>
      </c>
      <c r="G60">
        <v>6330.3361340000001</v>
      </c>
    </row>
    <row r="61" spans="1:8" x14ac:dyDescent="0.3">
      <c r="A61" t="s">
        <v>17</v>
      </c>
      <c r="B61">
        <f>B58*B57</f>
        <v>163.66386554621849</v>
      </c>
      <c r="C61">
        <v>163.66386549999999</v>
      </c>
      <c r="D61">
        <f>D58*D57</f>
        <v>36.4035575319622</v>
      </c>
      <c r="E61">
        <f>E58*E57</f>
        <v>0</v>
      </c>
      <c r="F61">
        <f>F58*F57</f>
        <v>167.59909747292417</v>
      </c>
      <c r="G61">
        <v>164.66386549999999</v>
      </c>
      <c r="H61">
        <f>H58*H57</f>
        <v>0</v>
      </c>
    </row>
    <row r="62" spans="1:8" x14ac:dyDescent="0.3">
      <c r="A62" t="s">
        <v>12</v>
      </c>
      <c r="B62">
        <f>(B52/B55)*B60</f>
        <v>579.11829347123467</v>
      </c>
      <c r="C62">
        <f>(C52/C55)*C60</f>
        <v>5749.2178405702916</v>
      </c>
      <c r="D62">
        <f t="shared" ref="D62:G62" si="7">(D52/D55)*D60</f>
        <v>504.73040578098943</v>
      </c>
      <c r="E62">
        <f>(E52/E55)*E60</f>
        <v>5238.7944541855531</v>
      </c>
      <c r="F62">
        <f t="shared" si="7"/>
        <v>738.37364620938627</v>
      </c>
      <c r="G62">
        <f t="shared" si="7"/>
        <v>19984.577715747022</v>
      </c>
    </row>
    <row r="63" spans="1:8" x14ac:dyDescent="0.3">
      <c r="A63" t="s">
        <v>18</v>
      </c>
      <c r="B63">
        <f>(B53/B56)*B61</f>
        <v>12.589528118939885</v>
      </c>
      <c r="C63">
        <f>(C53/C56)*C61</f>
        <v>151.07433738461538</v>
      </c>
      <c r="D63">
        <f t="shared" ref="D63:G63" si="8">(D53/D56)*D61</f>
        <v>11.806559199555309</v>
      </c>
      <c r="E63">
        <f t="shared" si="8"/>
        <v>0</v>
      </c>
      <c r="F63">
        <f t="shared" si="8"/>
        <v>119.54620938628159</v>
      </c>
      <c r="G63">
        <f t="shared" si="8"/>
        <v>164.66386549999999</v>
      </c>
    </row>
  </sheetData>
  <mergeCells count="3">
    <mergeCell ref="B1:C1"/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Amirhossein Kiani</dc:creator>
  <cp:lastModifiedBy>Amirhossein Kiani</cp:lastModifiedBy>
  <dcterms:created xsi:type="dcterms:W3CDTF">2015-06-05T18:17:20Z</dcterms:created>
  <dcterms:modified xsi:type="dcterms:W3CDTF">2025-11-07T20:46:04Z</dcterms:modified>
</cp:coreProperties>
</file>